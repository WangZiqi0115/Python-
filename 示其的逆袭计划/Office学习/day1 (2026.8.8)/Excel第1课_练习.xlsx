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430" yWindow="550" windowWidth="15070" windowHeight="3360" activeTab="1"/>
  </bookViews>
  <sheets>
    <sheet name="练习说明" sheetId="1" r:id="rId1"/>
    <sheet name="成绩表" sheetId="2" r:id="rId2"/>
    <sheet name="排序筛选" sheetId="3" r:id="rId3"/>
    <sheet name="图表数据" sheetId="4" r:id="rId4"/>
  </sheets>
  <definedNames>
    <definedName name="_xlnm._FilterDatabase" localSheetId="2" hidden="1">排序筛选!$A$1:$E$11</definedName>
  </definedNames>
  <calcPr calcId="124519"/>
</workbook>
</file>

<file path=xl/calcChain.xml><?xml version="1.0" encoding="utf-8"?>
<calcChain xmlns="http://schemas.openxmlformats.org/spreadsheetml/2006/main">
  <c r="L2" i="2"/>
  <c r="M2"/>
  <c r="N2"/>
  <c r="K2"/>
  <c r="J3"/>
  <c r="J4"/>
  <c r="J5"/>
  <c r="J6"/>
  <c r="J7"/>
  <c r="J8"/>
  <c r="J9"/>
  <c r="J10"/>
  <c r="J11"/>
  <c r="J2"/>
  <c r="I2"/>
  <c r="H2"/>
  <c r="G2"/>
  <c r="F2"/>
</calcChain>
</file>

<file path=xl/sharedStrings.xml><?xml version="1.0" encoding="utf-8"?>
<sst xmlns="http://schemas.openxmlformats.org/spreadsheetml/2006/main" count="124" uniqueCount="69">
  <si>
    <t>Excel 第 1 课练习（2026.8.8）</t>
  </si>
  <si>
    <t>打开“成绩表”，原始数据已经填好。黄色格子是需要你填公式的地方。</t>
  </si>
  <si>
    <t>完成后保存文件，并告诉我，我会检查你的公式和结果。</t>
  </si>
  <si>
    <t>填在哪</t>
  </si>
  <si>
    <t>任务</t>
  </si>
  <si>
    <t>F2</t>
  </si>
  <si>
    <t>数学总分：用 SUM，区域 D2:D11</t>
  </si>
  <si>
    <t>G2</t>
  </si>
  <si>
    <t>英语平均分：用 AVERAGE，区域 E2:E11，保留 1 位小数</t>
  </si>
  <si>
    <t>H2</t>
  </si>
  <si>
    <t>数学最高分：用 MAX，区域 D2:D11</t>
  </si>
  <si>
    <t>I2</t>
  </si>
  <si>
    <t>数学最低分：用 MIN，区域 D2:D11</t>
  </si>
  <si>
    <t>J2:J11</t>
  </si>
  <si>
    <t>数学是否及格：用 IF，判断 D2&gt;=60，返回“及格”或“不及格”，向下填充</t>
  </si>
  <si>
    <t>K2</t>
  </si>
  <si>
    <t>数学大于等于 60 人数：用 COUNTIF，区域 D2:D11，条件 "&gt;=60"</t>
  </si>
  <si>
    <t>L2</t>
  </si>
  <si>
    <t>数学小于 60 人数：用 COUNTIF，区域 D2:D11，条件 "&lt;60"</t>
  </si>
  <si>
    <t>M2</t>
  </si>
  <si>
    <t>1 班数学总分：用 SUMIF，条件区域 C2:C11，条件 "1班"，求和区域 D2:D11</t>
  </si>
  <si>
    <t>N2</t>
  </si>
  <si>
    <t>VLOOKUP 查 005 姓名：用 VLOOKUP，查找 "005"，区域 A2:E11，返回第 2 列，FALSE</t>
  </si>
  <si>
    <t>排序筛选练习</t>
  </si>
  <si>
    <t>在“排序筛选”表完成</t>
  </si>
  <si>
    <t>1. 先选中 A1:E11 整块区域，再按数学从高到低排序，检查整行数据是否跟着移动。2. 筛选 1 班。3. 筛选英语大于等于 90 的学生。</t>
  </si>
  <si>
    <t>图表练习</t>
  </si>
  <si>
    <t>在“图表数据”表完成</t>
  </si>
  <si>
    <t>选中 A1:B11，插入柱状图，标题改为“数学成绩对比”，检查横轴是姓名、纵轴是分数。</t>
  </si>
  <si>
    <t>学号</t>
  </si>
  <si>
    <t>姓名</t>
  </si>
  <si>
    <t>班级</t>
  </si>
  <si>
    <t>数学</t>
  </si>
  <si>
    <t>英语</t>
  </si>
  <si>
    <t>数学总分(填公式)</t>
  </si>
  <si>
    <t>英语平均分(填公式)</t>
  </si>
  <si>
    <t>数学最高分(填公式)</t>
  </si>
  <si>
    <t>数学最低分(填公式)</t>
  </si>
  <si>
    <t>数学是否及格(填公式)</t>
  </si>
  <si>
    <t>数学大于等于60人数(填公式)</t>
  </si>
  <si>
    <t>数学小于60人数(填公式)</t>
  </si>
  <si>
    <t>1班数学总分(填公式)</t>
  </si>
  <si>
    <t>VLOOKUP查005姓名(填公式)</t>
  </si>
  <si>
    <t>001</t>
  </si>
  <si>
    <t>张三</t>
  </si>
  <si>
    <t>1班</t>
  </si>
  <si>
    <t>002</t>
  </si>
  <si>
    <t>李四</t>
  </si>
  <si>
    <t>003</t>
  </si>
  <si>
    <t>王五</t>
  </si>
  <si>
    <t>2班</t>
  </si>
  <si>
    <t>004</t>
  </si>
  <si>
    <t>赵六</t>
  </si>
  <si>
    <t>005</t>
  </si>
  <si>
    <t>孙七</t>
  </si>
  <si>
    <t>006</t>
  </si>
  <si>
    <t>周八</t>
  </si>
  <si>
    <t>007</t>
  </si>
  <si>
    <t>吴九</t>
  </si>
  <si>
    <t>008</t>
  </si>
  <si>
    <t>郑十</t>
  </si>
  <si>
    <t>009</t>
  </si>
  <si>
    <t>钱一</t>
  </si>
  <si>
    <t>010</t>
  </si>
  <si>
    <t>陈二</t>
  </si>
  <si>
    <t>黄色格子需要你填公式，不要修改左侧原始数据。</t>
  </si>
  <si>
    <t>练习排序和筛选：先选中 A1:E11 整块区域，再操作。</t>
  </si>
  <si>
    <t>1. 按数学从高到低排序。2. 筛选 1 班。3. 筛选英语大于等于 90。</t>
  </si>
  <si>
    <t>选中 A1:B11，插入柱状图，标题改为“数学成绩对比”。</t>
  </si>
</sst>
</file>

<file path=xl/styles.xml><?xml version="1.0" encoding="utf-8"?>
<styleSheet xmlns="http://schemas.openxmlformats.org/spreadsheetml/2006/main">
  <fonts count="6">
    <font>
      <sz val="11"/>
      <color theme="1"/>
      <name val="宋体"/>
      <family val="2"/>
      <scheme val="minor"/>
    </font>
    <font>
      <b/>
      <sz val="14"/>
      <name val="宋体"/>
      <family val="3"/>
      <charset val="134"/>
    </font>
    <font>
      <i/>
      <sz val="11"/>
      <color rgb="FF808080"/>
      <name val="宋体"/>
      <family val="3"/>
      <charset val="134"/>
    </font>
    <font>
      <b/>
      <sz val="11"/>
      <name val="宋体"/>
      <family val="3"/>
      <charset val="134"/>
    </font>
    <font>
      <b/>
      <sz val="11"/>
      <color rgb="FFFFFFFF"/>
      <name val="宋体"/>
      <family val="3"/>
      <charset val="134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3" borderId="1" xfId="0" applyFill="1" applyBorder="1"/>
  </cellXfs>
  <cellStyles count="1">
    <cellStyle name="常规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title>
      <c:tx>
        <c:rich>
          <a:bodyPr/>
          <a:lstStyle/>
          <a:p>
            <a:pPr>
              <a:defRPr/>
            </a:pPr>
            <a:r>
              <a:rPr lang="zh-CN" altLang="en-US"/>
              <a:t>数学成绩对比</a:t>
            </a:r>
            <a:endParaRPr lang="en-US" altLang="zh-CN"/>
          </a:p>
          <a:p>
            <a:pPr>
              <a:defRPr/>
            </a:pPr>
            <a:endParaRPr lang="en-US" altLang="en-US"/>
          </a:p>
        </c:rich>
      </c:tx>
    </c:title>
    <c:plotArea>
      <c:layout/>
      <c:barChart>
        <c:barDir val="col"/>
        <c:grouping val="clustered"/>
        <c:ser>
          <c:idx val="0"/>
          <c:order val="0"/>
          <c:tx>
            <c:strRef>
              <c:f>图表数据!$B$1</c:f>
              <c:strCache>
                <c:ptCount val="1"/>
                <c:pt idx="0">
                  <c:v>数学</c:v>
                </c:pt>
              </c:strCache>
            </c:strRef>
          </c:tx>
          <c:cat>
            <c:strRef>
              <c:f>图表数据!$A$2:$A$11</c:f>
              <c:strCache>
                <c:ptCount val="10"/>
                <c:pt idx="0">
                  <c:v>张三</c:v>
                </c:pt>
                <c:pt idx="1">
                  <c:v>李四</c:v>
                </c:pt>
                <c:pt idx="2">
                  <c:v>王五</c:v>
                </c:pt>
                <c:pt idx="3">
                  <c:v>赵六</c:v>
                </c:pt>
                <c:pt idx="4">
                  <c:v>孙七</c:v>
                </c:pt>
                <c:pt idx="5">
                  <c:v>周八</c:v>
                </c:pt>
                <c:pt idx="6">
                  <c:v>吴九</c:v>
                </c:pt>
                <c:pt idx="7">
                  <c:v>郑十</c:v>
                </c:pt>
                <c:pt idx="8">
                  <c:v>钱一</c:v>
                </c:pt>
                <c:pt idx="9">
                  <c:v>陈二</c:v>
                </c:pt>
              </c:strCache>
            </c:strRef>
          </c:cat>
          <c:val>
            <c:numRef>
              <c:f>图表数据!$B$2:$B$11</c:f>
              <c:numCache>
                <c:formatCode>General</c:formatCode>
                <c:ptCount val="10"/>
                <c:pt idx="0">
                  <c:v>95</c:v>
                </c:pt>
                <c:pt idx="1">
                  <c:v>78</c:v>
                </c:pt>
                <c:pt idx="2">
                  <c:v>86</c:v>
                </c:pt>
                <c:pt idx="3">
                  <c:v>59</c:v>
                </c:pt>
                <c:pt idx="4">
                  <c:v>91</c:v>
                </c:pt>
                <c:pt idx="5">
                  <c:v>72</c:v>
                </c:pt>
                <c:pt idx="6">
                  <c:v>88</c:v>
                </c:pt>
                <c:pt idx="7">
                  <c:v>64</c:v>
                </c:pt>
                <c:pt idx="8">
                  <c:v>83</c:v>
                </c:pt>
                <c:pt idx="9">
                  <c:v>69</c:v>
                </c:pt>
              </c:numCache>
            </c:numRef>
          </c:val>
        </c:ser>
        <c:axId val="87106688"/>
        <c:axId val="87108224"/>
      </c:barChart>
      <c:catAx>
        <c:axId val="87106688"/>
        <c:scaling>
          <c:orientation val="minMax"/>
        </c:scaling>
        <c:axPos val="b"/>
        <c:tickLblPos val="nextTo"/>
        <c:crossAx val="87108224"/>
        <c:crosses val="autoZero"/>
        <c:auto val="1"/>
        <c:lblAlgn val="ctr"/>
        <c:lblOffset val="100"/>
      </c:catAx>
      <c:valAx>
        <c:axId val="87108224"/>
        <c:scaling>
          <c:orientation val="minMax"/>
        </c:scaling>
        <c:axPos val="l"/>
        <c:majorGridlines/>
        <c:numFmt formatCode="General" sourceLinked="1"/>
        <c:tickLblPos val="nextTo"/>
        <c:crossAx val="87106688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0</xdr:row>
      <xdr:rowOff>38100</xdr:rowOff>
    </xdr:from>
    <xdr:to>
      <xdr:col>13</xdr:col>
      <xdr:colOff>57150</xdr:colOff>
      <xdr:row>15</xdr:row>
      <xdr:rowOff>114300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0"/>
  <sheetViews>
    <sheetView workbookViewId="0"/>
  </sheetViews>
  <sheetFormatPr defaultRowHeight="14"/>
  <cols>
    <col min="1" max="1" width="34" customWidth="1"/>
    <col min="2" max="2" width="80" customWidth="1"/>
  </cols>
  <sheetData>
    <row r="1" spans="1:2" ht="17.5">
      <c r="A1" s="1" t="s">
        <v>0</v>
      </c>
    </row>
    <row r="3" spans="1:2">
      <c r="A3" s="2" t="s">
        <v>1</v>
      </c>
    </row>
    <row r="4" spans="1:2">
      <c r="A4" s="2" t="s">
        <v>2</v>
      </c>
    </row>
    <row r="6" spans="1:2">
      <c r="A6" s="3" t="s">
        <v>3</v>
      </c>
      <c r="B6" s="3" t="s">
        <v>4</v>
      </c>
    </row>
    <row r="7" spans="1:2">
      <c r="A7" t="s">
        <v>5</v>
      </c>
      <c r="B7" t="s">
        <v>6</v>
      </c>
    </row>
    <row r="8" spans="1:2">
      <c r="A8" t="s">
        <v>7</v>
      </c>
      <c r="B8" t="s">
        <v>8</v>
      </c>
    </row>
    <row r="9" spans="1:2">
      <c r="A9" t="s">
        <v>9</v>
      </c>
      <c r="B9" t="s">
        <v>10</v>
      </c>
    </row>
    <row r="10" spans="1:2">
      <c r="A10" t="s">
        <v>11</v>
      </c>
      <c r="B10" t="s">
        <v>12</v>
      </c>
    </row>
    <row r="11" spans="1:2">
      <c r="A11" t="s">
        <v>13</v>
      </c>
      <c r="B11" t="s">
        <v>14</v>
      </c>
    </row>
    <row r="12" spans="1:2">
      <c r="A12" t="s">
        <v>15</v>
      </c>
      <c r="B12" t="s">
        <v>16</v>
      </c>
    </row>
    <row r="13" spans="1:2">
      <c r="A13" t="s">
        <v>17</v>
      </c>
      <c r="B13" t="s">
        <v>18</v>
      </c>
    </row>
    <row r="14" spans="1:2">
      <c r="A14" t="s">
        <v>19</v>
      </c>
      <c r="B14" t="s">
        <v>20</v>
      </c>
    </row>
    <row r="15" spans="1:2">
      <c r="A15" t="s">
        <v>21</v>
      </c>
      <c r="B15" t="s">
        <v>22</v>
      </c>
    </row>
    <row r="17" spans="1:2">
      <c r="A17" s="3" t="s">
        <v>23</v>
      </c>
    </row>
    <row r="18" spans="1:2">
      <c r="A18" t="s">
        <v>24</v>
      </c>
      <c r="B18" t="s">
        <v>25</v>
      </c>
    </row>
    <row r="19" spans="1:2">
      <c r="A19" s="3" t="s">
        <v>26</v>
      </c>
    </row>
    <row r="20" spans="1:2">
      <c r="A20" t="s">
        <v>27</v>
      </c>
      <c r="B20" t="s">
        <v>28</v>
      </c>
    </row>
  </sheetData>
  <phoneticPr fontId="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3"/>
  <sheetViews>
    <sheetView tabSelected="1" workbookViewId="0">
      <pane ySplit="1" topLeftCell="A2" activePane="bottomLeft" state="frozen"/>
      <selection pane="bottomLeft" activeCell="L3" sqref="L3"/>
    </sheetView>
  </sheetViews>
  <sheetFormatPr defaultRowHeight="14"/>
  <cols>
    <col min="1" max="1" width="8" customWidth="1"/>
    <col min="2" max="2" width="10" customWidth="1"/>
    <col min="3" max="5" width="8" customWidth="1"/>
    <col min="6" max="6" width="15" customWidth="1"/>
    <col min="7" max="9" width="16" customWidth="1"/>
    <col min="10" max="10" width="18" customWidth="1"/>
    <col min="11" max="12" width="19" customWidth="1"/>
    <col min="13" max="13" width="16" customWidth="1"/>
    <col min="14" max="14" width="20" customWidth="1"/>
  </cols>
  <sheetData>
    <row r="1" spans="1:14">
      <c r="A1" s="4" t="s">
        <v>29</v>
      </c>
      <c r="B1" s="4" t="s">
        <v>30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  <c r="H1" s="4" t="s">
        <v>36</v>
      </c>
      <c r="I1" s="4" t="s">
        <v>37</v>
      </c>
      <c r="J1" s="4" t="s">
        <v>38</v>
      </c>
      <c r="K1" s="4" t="s">
        <v>39</v>
      </c>
      <c r="L1" s="4" t="s">
        <v>40</v>
      </c>
      <c r="M1" s="4" t="s">
        <v>41</v>
      </c>
      <c r="N1" s="4" t="s">
        <v>42</v>
      </c>
    </row>
    <row r="2" spans="1:14">
      <c r="A2" s="5" t="s">
        <v>43</v>
      </c>
      <c r="B2" s="5" t="s">
        <v>44</v>
      </c>
      <c r="C2" s="5" t="s">
        <v>45</v>
      </c>
      <c r="D2" s="6">
        <v>95</v>
      </c>
      <c r="E2" s="6">
        <v>88</v>
      </c>
      <c r="F2" s="7">
        <f>SUM(D2:D11)</f>
        <v>785</v>
      </c>
      <c r="G2" s="7">
        <f>ROUND(AVERAGE(E2:E11),1)</f>
        <v>78.900000000000006</v>
      </c>
      <c r="H2" s="7">
        <f>MAX(D2:D11)</f>
        <v>95</v>
      </c>
      <c r="I2" s="7">
        <f>MIN(D2:D11)</f>
        <v>59</v>
      </c>
      <c r="J2" s="7" t="str">
        <f>IF(D2&gt;=60,"及格","不及格")</f>
        <v>及格</v>
      </c>
      <c r="K2" s="7">
        <f>COUNTIF(D2:D11,"&gt;=60")</f>
        <v>9</v>
      </c>
      <c r="L2" s="7">
        <f>COUNTIF(D2:D11,"&lt;60")</f>
        <v>1</v>
      </c>
      <c r="M2" s="7">
        <f>SUMIF(C2:C11,"1班",D2:D11)</f>
        <v>403</v>
      </c>
      <c r="N2" s="7" t="str">
        <f>VLOOKUP("005",A2:E11,2,FALSE)</f>
        <v>孙七</v>
      </c>
    </row>
    <row r="3" spans="1:14">
      <c r="A3" s="5" t="s">
        <v>46</v>
      </c>
      <c r="B3" s="5" t="s">
        <v>47</v>
      </c>
      <c r="C3" s="5" t="s">
        <v>45</v>
      </c>
      <c r="D3" s="6">
        <v>78</v>
      </c>
      <c r="E3" s="6">
        <v>92</v>
      </c>
      <c r="J3" s="7" t="str">
        <f t="shared" ref="J3:J11" si="0">IF(D3&gt;=60,"及格","不及格")</f>
        <v>及格</v>
      </c>
    </row>
    <row r="4" spans="1:14">
      <c r="A4" s="5" t="s">
        <v>48</v>
      </c>
      <c r="B4" s="5" t="s">
        <v>49</v>
      </c>
      <c r="C4" s="5" t="s">
        <v>50</v>
      </c>
      <c r="D4" s="6">
        <v>86</v>
      </c>
      <c r="E4" s="6">
        <v>74</v>
      </c>
      <c r="J4" s="7" t="str">
        <f t="shared" si="0"/>
        <v>及格</v>
      </c>
    </row>
    <row r="5" spans="1:14">
      <c r="A5" s="5" t="s">
        <v>51</v>
      </c>
      <c r="B5" s="5" t="s">
        <v>52</v>
      </c>
      <c r="C5" s="5" t="s">
        <v>45</v>
      </c>
      <c r="D5" s="6">
        <v>59</v>
      </c>
      <c r="E5" s="6">
        <v>63</v>
      </c>
      <c r="J5" s="7" t="str">
        <f t="shared" si="0"/>
        <v>不及格</v>
      </c>
    </row>
    <row r="6" spans="1:14">
      <c r="A6" s="5" t="s">
        <v>53</v>
      </c>
      <c r="B6" s="5" t="s">
        <v>54</v>
      </c>
      <c r="C6" s="5" t="s">
        <v>50</v>
      </c>
      <c r="D6" s="6">
        <v>91</v>
      </c>
      <c r="E6" s="6">
        <v>85</v>
      </c>
      <c r="J6" s="7" t="str">
        <f t="shared" si="0"/>
        <v>及格</v>
      </c>
    </row>
    <row r="7" spans="1:14">
      <c r="A7" s="5" t="s">
        <v>55</v>
      </c>
      <c r="B7" s="5" t="s">
        <v>56</v>
      </c>
      <c r="C7" s="5" t="s">
        <v>50</v>
      </c>
      <c r="D7" s="6">
        <v>72</v>
      </c>
      <c r="E7" s="6">
        <v>90</v>
      </c>
      <c r="J7" s="7" t="str">
        <f t="shared" si="0"/>
        <v>及格</v>
      </c>
    </row>
    <row r="8" spans="1:14">
      <c r="A8" s="5" t="s">
        <v>57</v>
      </c>
      <c r="B8" s="5" t="s">
        <v>58</v>
      </c>
      <c r="C8" s="5" t="s">
        <v>45</v>
      </c>
      <c r="D8" s="6">
        <v>88</v>
      </c>
      <c r="E8" s="6">
        <v>76</v>
      </c>
      <c r="J8" s="7" t="str">
        <f t="shared" si="0"/>
        <v>及格</v>
      </c>
    </row>
    <row r="9" spans="1:14">
      <c r="A9" s="5" t="s">
        <v>59</v>
      </c>
      <c r="B9" s="5" t="s">
        <v>60</v>
      </c>
      <c r="C9" s="5" t="s">
        <v>50</v>
      </c>
      <c r="D9" s="6">
        <v>64</v>
      </c>
      <c r="E9" s="6">
        <v>55</v>
      </c>
      <c r="J9" s="7" t="str">
        <f t="shared" si="0"/>
        <v>及格</v>
      </c>
    </row>
    <row r="10" spans="1:14">
      <c r="A10" s="5" t="s">
        <v>61</v>
      </c>
      <c r="B10" s="5" t="s">
        <v>62</v>
      </c>
      <c r="C10" s="5" t="s">
        <v>45</v>
      </c>
      <c r="D10" s="6">
        <v>83</v>
      </c>
      <c r="E10" s="6">
        <v>95</v>
      </c>
      <c r="J10" s="7" t="str">
        <f t="shared" si="0"/>
        <v>及格</v>
      </c>
    </row>
    <row r="11" spans="1:14">
      <c r="A11" s="5" t="s">
        <v>63</v>
      </c>
      <c r="B11" s="5" t="s">
        <v>64</v>
      </c>
      <c r="C11" s="5" t="s">
        <v>50</v>
      </c>
      <c r="D11" s="6">
        <v>69</v>
      </c>
      <c r="E11" s="6">
        <v>71</v>
      </c>
      <c r="J11" s="7" t="str">
        <f t="shared" si="0"/>
        <v>及格</v>
      </c>
    </row>
    <row r="13" spans="1:14">
      <c r="A13" s="2" t="s">
        <v>65</v>
      </c>
    </row>
  </sheetData>
  <phoneticPr fontId="5" type="noConversion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/>
  <dimension ref="A1:E14"/>
  <sheetViews>
    <sheetView workbookViewId="0">
      <pane ySplit="1" topLeftCell="A2" activePane="bottomLeft" state="frozen"/>
      <selection pane="bottomLeft" activeCell="F19" sqref="F19"/>
    </sheetView>
  </sheetViews>
  <sheetFormatPr defaultRowHeight="14"/>
  <cols>
    <col min="1" max="1" width="8" customWidth="1"/>
    <col min="2" max="2" width="10" customWidth="1"/>
    <col min="3" max="5" width="8" customWidth="1"/>
  </cols>
  <sheetData>
    <row r="1" spans="1:5">
      <c r="A1" s="4" t="s">
        <v>29</v>
      </c>
      <c r="B1" s="4" t="s">
        <v>30</v>
      </c>
      <c r="C1" s="4" t="s">
        <v>31</v>
      </c>
      <c r="D1" s="4" t="s">
        <v>32</v>
      </c>
      <c r="E1" s="4" t="s">
        <v>33</v>
      </c>
    </row>
    <row r="2" spans="1:5" hidden="1">
      <c r="A2" s="5" t="s">
        <v>43</v>
      </c>
      <c r="B2" s="5" t="s">
        <v>44</v>
      </c>
      <c r="C2" s="5" t="s">
        <v>45</v>
      </c>
      <c r="D2" s="6">
        <v>95</v>
      </c>
      <c r="E2" s="6">
        <v>88</v>
      </c>
    </row>
    <row r="3" spans="1:5" hidden="1">
      <c r="A3" s="5" t="s">
        <v>53</v>
      </c>
      <c r="B3" s="5" t="s">
        <v>54</v>
      </c>
      <c r="C3" s="5" t="s">
        <v>50</v>
      </c>
      <c r="D3" s="6">
        <v>91</v>
      </c>
      <c r="E3" s="6">
        <v>85</v>
      </c>
    </row>
    <row r="4" spans="1:5" hidden="1">
      <c r="A4" s="5" t="s">
        <v>57</v>
      </c>
      <c r="B4" s="5" t="s">
        <v>58</v>
      </c>
      <c r="C4" s="5" t="s">
        <v>45</v>
      </c>
      <c r="D4" s="6">
        <v>88</v>
      </c>
      <c r="E4" s="6">
        <v>76</v>
      </c>
    </row>
    <row r="5" spans="1:5" hidden="1">
      <c r="A5" s="5" t="s">
        <v>48</v>
      </c>
      <c r="B5" s="5" t="s">
        <v>49</v>
      </c>
      <c r="C5" s="5" t="s">
        <v>50</v>
      </c>
      <c r="D5" s="6">
        <v>86</v>
      </c>
      <c r="E5" s="6">
        <v>74</v>
      </c>
    </row>
    <row r="6" spans="1:5">
      <c r="A6" s="5" t="s">
        <v>61</v>
      </c>
      <c r="B6" s="5" t="s">
        <v>62</v>
      </c>
      <c r="C6" s="5" t="s">
        <v>45</v>
      </c>
      <c r="D6" s="6">
        <v>83</v>
      </c>
      <c r="E6" s="6">
        <v>95</v>
      </c>
    </row>
    <row r="7" spans="1:5">
      <c r="A7" s="5" t="s">
        <v>46</v>
      </c>
      <c r="B7" s="5" t="s">
        <v>47</v>
      </c>
      <c r="C7" s="5" t="s">
        <v>45</v>
      </c>
      <c r="D7" s="6">
        <v>78</v>
      </c>
      <c r="E7" s="6">
        <v>92</v>
      </c>
    </row>
    <row r="8" spans="1:5" hidden="1">
      <c r="A8" s="5" t="s">
        <v>55</v>
      </c>
      <c r="B8" s="5" t="s">
        <v>56</v>
      </c>
      <c r="C8" s="5" t="s">
        <v>50</v>
      </c>
      <c r="D8" s="6">
        <v>72</v>
      </c>
      <c r="E8" s="6">
        <v>90</v>
      </c>
    </row>
    <row r="9" spans="1:5" hidden="1">
      <c r="A9" s="5" t="s">
        <v>63</v>
      </c>
      <c r="B9" s="5" t="s">
        <v>64</v>
      </c>
      <c r="C9" s="5" t="s">
        <v>50</v>
      </c>
      <c r="D9" s="6">
        <v>69</v>
      </c>
      <c r="E9" s="6">
        <v>71</v>
      </c>
    </row>
    <row r="10" spans="1:5" hidden="1">
      <c r="A10" s="5" t="s">
        <v>59</v>
      </c>
      <c r="B10" s="5" t="s">
        <v>60</v>
      </c>
      <c r="C10" s="5" t="s">
        <v>50</v>
      </c>
      <c r="D10" s="6">
        <v>64</v>
      </c>
      <c r="E10" s="6">
        <v>55</v>
      </c>
    </row>
    <row r="11" spans="1:5" hidden="1">
      <c r="A11" s="5" t="s">
        <v>51</v>
      </c>
      <c r="B11" s="5" t="s">
        <v>52</v>
      </c>
      <c r="C11" s="5" t="s">
        <v>45</v>
      </c>
      <c r="D11" s="6">
        <v>59</v>
      </c>
      <c r="E11" s="6">
        <v>63</v>
      </c>
    </row>
    <row r="13" spans="1:5">
      <c r="A13" s="2" t="s">
        <v>66</v>
      </c>
    </row>
    <row r="14" spans="1:5">
      <c r="A14" s="2" t="s">
        <v>67</v>
      </c>
    </row>
  </sheetData>
  <autoFilter ref="A1:E11">
    <filterColumn colId="2">
      <filters>
        <filter val="1班"/>
      </filters>
    </filterColumn>
    <filterColumn colId="4">
      <customFilters>
        <customFilter operator="greaterThanOrEqual" val="90"/>
      </customFilters>
    </filterColumn>
  </autoFilter>
  <sortState ref="A2:E11">
    <sortCondition descending="1" ref="D2:D11"/>
  </sortState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dimension ref="A1:B13"/>
  <sheetViews>
    <sheetView workbookViewId="0">
      <pane ySplit="1" topLeftCell="A2" activePane="bottomLeft" state="frozen"/>
      <selection pane="bottomLeft" sqref="A1:B11"/>
    </sheetView>
  </sheetViews>
  <sheetFormatPr defaultRowHeight="14"/>
  <cols>
    <col min="1" max="1" width="12" customWidth="1"/>
    <col min="2" max="2" width="10" customWidth="1"/>
  </cols>
  <sheetData>
    <row r="1" spans="1:2">
      <c r="A1" s="4" t="s">
        <v>30</v>
      </c>
      <c r="B1" s="4" t="s">
        <v>32</v>
      </c>
    </row>
    <row r="2" spans="1:2">
      <c r="A2" s="5" t="s">
        <v>44</v>
      </c>
      <c r="B2" s="5">
        <v>95</v>
      </c>
    </row>
    <row r="3" spans="1:2">
      <c r="A3" s="5" t="s">
        <v>47</v>
      </c>
      <c r="B3" s="5">
        <v>78</v>
      </c>
    </row>
    <row r="4" spans="1:2">
      <c r="A4" s="5" t="s">
        <v>49</v>
      </c>
      <c r="B4" s="5">
        <v>86</v>
      </c>
    </row>
    <row r="5" spans="1:2">
      <c r="A5" s="5" t="s">
        <v>52</v>
      </c>
      <c r="B5" s="5">
        <v>59</v>
      </c>
    </row>
    <row r="6" spans="1:2">
      <c r="A6" s="5" t="s">
        <v>54</v>
      </c>
      <c r="B6" s="5">
        <v>91</v>
      </c>
    </row>
    <row r="7" spans="1:2">
      <c r="A7" s="5" t="s">
        <v>56</v>
      </c>
      <c r="B7" s="5">
        <v>72</v>
      </c>
    </row>
    <row r="8" spans="1:2">
      <c r="A8" s="5" t="s">
        <v>58</v>
      </c>
      <c r="B8" s="5">
        <v>88</v>
      </c>
    </row>
    <row r="9" spans="1:2">
      <c r="A9" s="5" t="s">
        <v>60</v>
      </c>
      <c r="B9" s="5">
        <v>64</v>
      </c>
    </row>
    <row r="10" spans="1:2">
      <c r="A10" s="5" t="s">
        <v>62</v>
      </c>
      <c r="B10" s="5">
        <v>83</v>
      </c>
    </row>
    <row r="11" spans="1:2">
      <c r="A11" s="5" t="s">
        <v>64</v>
      </c>
      <c r="B11" s="5">
        <v>69</v>
      </c>
    </row>
    <row r="13" spans="1:2">
      <c r="A13" s="2" t="s">
        <v>68</v>
      </c>
    </row>
  </sheetData>
  <phoneticPr fontId="5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练习说明</vt:lpstr>
      <vt:lpstr>成绩表</vt:lpstr>
      <vt:lpstr>排序筛选</vt:lpstr>
      <vt:lpstr>图表数据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2026-08-08T13:50:27Z</dcterms:created>
  <dcterms:modified xsi:type="dcterms:W3CDTF">2026-08-08T14:16:18Z</dcterms:modified>
</cp:coreProperties>
</file>